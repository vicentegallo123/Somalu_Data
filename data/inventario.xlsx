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88C168-BAA1-4AD1-B882-C6424F259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rvezas" sheetId="1" r:id="rId1"/>
    <sheet name="Sodas" sheetId="5" r:id="rId2"/>
    <sheet name="Tequila" sheetId="6" r:id="rId3"/>
    <sheet name="Destilados de agave" sheetId="4" r:id="rId4"/>
    <sheet name="Licores" sheetId="3" r:id="rId5"/>
    <sheet name="Gin y Vodka" sheetId="2" r:id="rId6"/>
    <sheet name="Whisky" sheetId="7" r:id="rId7"/>
    <sheet name="R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8" l="1"/>
  <c r="G10" i="8"/>
  <c r="G11" i="7"/>
  <c r="G11" i="2"/>
  <c r="G11" i="4"/>
  <c r="G12" i="4"/>
  <c r="G14" i="6"/>
  <c r="G18" i="5"/>
  <c r="G13" i="1"/>
  <c r="G9" i="8"/>
  <c r="G8" i="8"/>
  <c r="G7" i="8"/>
  <c r="G6" i="8"/>
  <c r="G5" i="8"/>
  <c r="G4" i="8"/>
  <c r="G10" i="7"/>
  <c r="G9" i="7"/>
  <c r="G8" i="7"/>
  <c r="G7" i="7"/>
  <c r="G6" i="7"/>
  <c r="G5" i="7"/>
  <c r="G4" i="7"/>
  <c r="G13" i="6"/>
  <c r="G12" i="6"/>
  <c r="G11" i="6"/>
  <c r="G10" i="6"/>
  <c r="G9" i="6"/>
  <c r="G8" i="6"/>
  <c r="G7" i="6"/>
  <c r="G6" i="6"/>
  <c r="G5" i="6"/>
  <c r="G4" i="6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10" i="4"/>
  <c r="G9" i="4"/>
  <c r="G8" i="4"/>
  <c r="G7" i="4"/>
  <c r="G6" i="4"/>
  <c r="G5" i="4"/>
  <c r="G4" i="4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10" i="2"/>
  <c r="G9" i="2"/>
  <c r="G8" i="2"/>
  <c r="G7" i="2"/>
  <c r="G6" i="2"/>
  <c r="G5" i="2"/>
  <c r="G4" i="2"/>
  <c r="G12" i="1"/>
  <c r="G11" i="1"/>
  <c r="G10" i="1"/>
  <c r="G9" i="1"/>
  <c r="G8" i="1"/>
  <c r="G7" i="1"/>
  <c r="G6" i="1"/>
  <c r="G5" i="1"/>
  <c r="G4" i="1"/>
  <c r="G26" i="3" l="1"/>
  <c r="G13" i="4"/>
</calcChain>
</file>

<file path=xl/sharedStrings.xml><?xml version="1.0" encoding="utf-8"?>
<sst xmlns="http://schemas.openxmlformats.org/spreadsheetml/2006/main" count="480" uniqueCount="140">
  <si>
    <t>INVENTARIO DETALLADO - SOMALU</t>
  </si>
  <si>
    <t>Categoría</t>
  </si>
  <si>
    <t>Producto</t>
  </si>
  <si>
    <t>Cantidad Actual</t>
  </si>
  <si>
    <t>Unidad</t>
  </si>
  <si>
    <t>Estado/Alerta</t>
  </si>
  <si>
    <t>COSTO UNIDAD</t>
  </si>
  <si>
    <t>TOTAL COSTO</t>
  </si>
  <si>
    <t>Cervezas y Artesanales</t>
  </si>
  <si>
    <t>Barranquera</t>
  </si>
  <si>
    <t>Piezas/Botellas</t>
  </si>
  <si>
    <t>OK</t>
  </si>
  <si>
    <t>Barrio 21</t>
  </si>
  <si>
    <t>4.0</t>
  </si>
  <si>
    <t>Bitachero</t>
  </si>
  <si>
    <t>5.0</t>
  </si>
  <si>
    <t>Lágrimas negras</t>
  </si>
  <si>
    <t>8.0</t>
  </si>
  <si>
    <t>Súper Lupe</t>
  </si>
  <si>
    <t>Súper laguer</t>
  </si>
  <si>
    <t>19.0</t>
  </si>
  <si>
    <t>Talega</t>
  </si>
  <si>
    <t>6.0</t>
  </si>
  <si>
    <t>CAGUAMITA CARTA BLANCA</t>
  </si>
  <si>
    <t>6.1</t>
  </si>
  <si>
    <t>MODELO ESPECIAL</t>
  </si>
  <si>
    <t>6.2</t>
  </si>
  <si>
    <t>Ginebra &amp; Vodka</t>
  </si>
  <si>
    <t>Absolut Tabasco</t>
  </si>
  <si>
    <t>1.0</t>
  </si>
  <si>
    <t>Stock Crítico</t>
  </si>
  <si>
    <t>Absolut azul</t>
  </si>
  <si>
    <t>0.2</t>
  </si>
  <si>
    <t>Beeafeter</t>
  </si>
  <si>
    <t>Loba gin</t>
  </si>
  <si>
    <t>Monkey 47</t>
  </si>
  <si>
    <t>0.8</t>
  </si>
  <si>
    <t>Saturnal gin</t>
  </si>
  <si>
    <t>0.1</t>
  </si>
  <si>
    <t>Saturnal vodka</t>
  </si>
  <si>
    <t>0.9</t>
  </si>
  <si>
    <t>Licores, Aperitivos y Otros</t>
  </si>
  <si>
    <t>Alma finca</t>
  </si>
  <si>
    <t>0.3</t>
  </si>
  <si>
    <t>Ancho reyes</t>
  </si>
  <si>
    <t>Angostura</t>
  </si>
  <si>
    <t>Aperol</t>
  </si>
  <si>
    <t>Averna</t>
  </si>
  <si>
    <t>Baylies</t>
  </si>
  <si>
    <t>0.4</t>
  </si>
  <si>
    <t>Campari</t>
  </si>
  <si>
    <t>Changuirito</t>
  </si>
  <si>
    <t>Chartrusse Amarillo</t>
  </si>
  <si>
    <t>Cochi americano</t>
  </si>
  <si>
    <t>Coin true</t>
  </si>
  <si>
    <t>Cynar</t>
  </si>
  <si>
    <t>0.5</t>
  </si>
  <si>
    <t>PROSSECO PRO SPRITS</t>
  </si>
  <si>
    <t>Fernet</t>
  </si>
  <si>
    <t>0.7</t>
  </si>
  <si>
    <t>FORMULA ANTICA</t>
  </si>
  <si>
    <t>Itálicus</t>
  </si>
  <si>
    <t>Kalhua</t>
  </si>
  <si>
    <t>Limonchello</t>
  </si>
  <si>
    <t>Lisbor</t>
  </si>
  <si>
    <t>Mina real</t>
  </si>
  <si>
    <t>Naranja bitter</t>
  </si>
  <si>
    <t>Nudo verde café 1 kg</t>
  </si>
  <si>
    <t>2.0</t>
  </si>
  <si>
    <t>Plum dew</t>
  </si>
  <si>
    <t>St main</t>
  </si>
  <si>
    <t>Valiente bravo</t>
  </si>
  <si>
    <t>Mezcales y Destilados Locales</t>
  </si>
  <si>
    <t>Derrumbes Michoacán</t>
  </si>
  <si>
    <t>Derrumbes Oaxaca</t>
  </si>
  <si>
    <t>Guía del alma Tobala</t>
  </si>
  <si>
    <t>Guía del alma espadín</t>
  </si>
  <si>
    <t>Oaxacaña</t>
  </si>
  <si>
    <t>Ojo de tigre</t>
  </si>
  <si>
    <t>Raicilla pólvora</t>
  </si>
  <si>
    <t>Refrescos y Aguas</t>
  </si>
  <si>
    <t>Agua Lourdes</t>
  </si>
  <si>
    <t>70.0</t>
  </si>
  <si>
    <t>Agua tónica</t>
  </si>
  <si>
    <t>Belot jengibre</t>
  </si>
  <si>
    <t>Casa del agua</t>
  </si>
  <si>
    <t>12.0</t>
  </si>
  <si>
    <t>Coca-Cola</t>
  </si>
  <si>
    <t>31.0</t>
  </si>
  <si>
    <t>Coca-Cola Light</t>
  </si>
  <si>
    <t>63.0</t>
  </si>
  <si>
    <t>Coca-Cola cero</t>
  </si>
  <si>
    <t>Ginger coaxala</t>
  </si>
  <si>
    <t>11.0</t>
  </si>
  <si>
    <t>Lechuguilla</t>
  </si>
  <si>
    <t>Perrier 350 ml</t>
  </si>
  <si>
    <t>7.0</t>
  </si>
  <si>
    <t>Perrier 750 ml</t>
  </si>
  <si>
    <t>3.0</t>
  </si>
  <si>
    <t>Velvet lichie</t>
  </si>
  <si>
    <t>Velvet MARACUYA</t>
  </si>
  <si>
    <t>19.1</t>
  </si>
  <si>
    <t>TOPO CHICO PET 600</t>
  </si>
  <si>
    <t>19.2</t>
  </si>
  <si>
    <t>Arte non 1414</t>
  </si>
  <si>
    <t>Arte non 1579</t>
  </si>
  <si>
    <t>Cazcanes añejo</t>
  </si>
  <si>
    <t>Cazcanes blanco n.7</t>
  </si>
  <si>
    <t>CASCAHUIN BLANCO</t>
  </si>
  <si>
    <t>CASCAHUIN TAHONA</t>
  </si>
  <si>
    <t>TEQUILA OCHO BLANCO</t>
  </si>
  <si>
    <t>0.10</t>
  </si>
  <si>
    <t>TEQUILA PARA TODOS</t>
  </si>
  <si>
    <t>0.11</t>
  </si>
  <si>
    <t>Cazcanes rep</t>
  </si>
  <si>
    <t>0.12</t>
  </si>
  <si>
    <t>Herradura blanco</t>
  </si>
  <si>
    <t>Whisky &amp; Bourbon</t>
  </si>
  <si>
    <t>Evan’s Williams</t>
  </si>
  <si>
    <t>Glenñivet</t>
  </si>
  <si>
    <t>Jameson</t>
  </si>
  <si>
    <t>Jim bean</t>
  </si>
  <si>
    <t>Macallan 12</t>
  </si>
  <si>
    <t>Macallan 18</t>
  </si>
  <si>
    <t>Marker mark</t>
  </si>
  <si>
    <t>RONES</t>
  </si>
  <si>
    <t>DIPLOMATICO</t>
  </si>
  <si>
    <t>OAXACAÑA</t>
  </si>
  <si>
    <t>1.1</t>
  </si>
  <si>
    <t>FLOR DE CAÑA 12</t>
  </si>
  <si>
    <t>1.2</t>
  </si>
  <si>
    <t>FLOR DE CAÑA 4</t>
  </si>
  <si>
    <t>1.3</t>
  </si>
  <si>
    <t>FLOR DE CAÑA BLANCO</t>
  </si>
  <si>
    <t>1.4</t>
  </si>
  <si>
    <t>FLOR DE CAÑA CRISTALINO</t>
  </si>
  <si>
    <t>1.5</t>
  </si>
  <si>
    <t>Tequilas</t>
  </si>
  <si>
    <t>COSTO TOTAL</t>
  </si>
  <si>
    <t>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</si>
</sst>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0"/>
      <color rgb="FF000000"/>
      <name val="Arial"/>
      <scheme val="minor"/>
    </font>
    <font>
      <b/>
      <sz val="16"/>
      <color rgb="FF1F4E79"/>
      <name val="&quot;Segoe UI&quot;"/>
    </font>
    <font>
      <b/>
      <sz val="11"/>
      <color rgb="FFFFFFFF"/>
      <name val="&quot;Segoe UI&quot;"/>
    </font>
    <font>
      <b/>
      <sz val="11"/>
      <color rgb="FFFFFFFF"/>
      <name val="Arial"/>
    </font>
    <font>
      <sz val="11"/>
      <color theme="1"/>
      <name val="&quot;Segoe UI&quot;"/>
    </font>
    <font>
      <sz val="11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A"/>
        <bgColor rgb="FFF2F6FA"/>
      </patternFill>
    </fill>
    <fill>
      <patternFill patternType="solid">
        <fgColor theme="2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5" fillId="3" borderId="2" xfId="0" applyFont="1" applyFill="1" applyBorder="1"/>
    <xf numFmtId="0" fontId="7" fillId="4" borderId="2" xfId="0" applyFont="1" applyFill="1" applyBorder="1" applyAlignment="1">
      <alignment horizontal="center"/>
    </xf>
    <xf numFmtId="164" fontId="7" fillId="4" borderId="2" xfId="0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64" fontId="7" fillId="4" borderId="3" xfId="0" applyNumberFormat="1" applyFont="1" applyFill="1" applyBorder="1" applyAlignment="1">
      <alignment horizontal="center"/>
    </xf>
    <xf numFmtId="0" fontId="5" fillId="0" borderId="2" xfId="0" applyFont="1" applyBorder="1"/>
    <xf numFmtId="0" fontId="5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9"/>
  <sheetViews>
    <sheetView tabSelected="1" workbookViewId="0">
      <selection activeCell="G18" sqref="G18"/>
    </sheetView>
  </sheetViews>
  <sheetFormatPr defaultColWidth="12.6640625" defaultRowHeight="15.75" customHeight="1"/>
  <cols>
    <col min="1" max="1" width="25.77734375" customWidth="1"/>
    <col min="2" max="2" width="36.33203125" customWidth="1"/>
    <col min="3" max="3" width="16" customWidth="1"/>
    <col min="4" max="4" width="19.33203125" customWidth="1"/>
    <col min="6" max="6" width="18.77734375" customWidth="1"/>
    <col min="7" max="7" width="14.77734375" customWidth="1"/>
  </cols>
  <sheetData>
    <row r="1" spans="1:7" ht="15.75" customHeight="1">
      <c r="A1" s="11" t="s">
        <v>0</v>
      </c>
      <c r="B1" s="11"/>
      <c r="C1" s="11"/>
      <c r="D1" s="11"/>
      <c r="E1" s="11"/>
      <c r="F1" s="11"/>
      <c r="G1" s="11"/>
    </row>
    <row r="2" spans="1:7" ht="15.75" customHeight="1">
      <c r="A2" s="11"/>
      <c r="B2" s="11"/>
      <c r="C2" s="11"/>
      <c r="D2" s="11"/>
      <c r="E2" s="11"/>
      <c r="F2" s="11"/>
      <c r="G2" s="11"/>
    </row>
    <row r="3" spans="1:7" ht="13.8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3" t="s">
        <v>6</v>
      </c>
      <c r="G3" s="13" t="s">
        <v>7</v>
      </c>
    </row>
    <row r="4" spans="1:7">
      <c r="A4" s="14" t="s">
        <v>8</v>
      </c>
      <c r="B4" s="14" t="s">
        <v>9</v>
      </c>
      <c r="C4" s="15">
        <v>4</v>
      </c>
      <c r="D4" s="14" t="s">
        <v>10</v>
      </c>
      <c r="E4" s="16" t="s">
        <v>11</v>
      </c>
      <c r="F4" s="17">
        <v>52</v>
      </c>
      <c r="G4" s="18">
        <f>F4*C4</f>
        <v>208</v>
      </c>
    </row>
    <row r="5" spans="1:7">
      <c r="A5" s="19" t="s">
        <v>8</v>
      </c>
      <c r="B5" s="19" t="s">
        <v>12</v>
      </c>
      <c r="C5" s="20" t="s">
        <v>13</v>
      </c>
      <c r="D5" s="19" t="s">
        <v>10</v>
      </c>
      <c r="E5" s="21" t="s">
        <v>11</v>
      </c>
      <c r="F5" s="22">
        <v>52</v>
      </c>
      <c r="G5" s="18">
        <f>F5*C5</f>
        <v>208</v>
      </c>
    </row>
    <row r="6" spans="1:7">
      <c r="A6" s="14" t="s">
        <v>8</v>
      </c>
      <c r="B6" s="14" t="s">
        <v>14</v>
      </c>
      <c r="C6" s="23" t="s">
        <v>15</v>
      </c>
      <c r="D6" s="14" t="s">
        <v>10</v>
      </c>
      <c r="E6" s="16" t="s">
        <v>11</v>
      </c>
      <c r="F6" s="17">
        <v>59</v>
      </c>
      <c r="G6" s="18">
        <f>F6*C6</f>
        <v>295</v>
      </c>
    </row>
    <row r="7" spans="1:7">
      <c r="A7" s="19" t="s">
        <v>8</v>
      </c>
      <c r="B7" s="19" t="s">
        <v>16</v>
      </c>
      <c r="C7" s="20" t="s">
        <v>17</v>
      </c>
      <c r="D7" s="19" t="s">
        <v>10</v>
      </c>
      <c r="E7" s="21" t="s">
        <v>11</v>
      </c>
      <c r="F7" s="22">
        <v>62</v>
      </c>
      <c r="G7" s="18">
        <f>F7*C7</f>
        <v>496</v>
      </c>
    </row>
    <row r="8" spans="1:7">
      <c r="A8" s="19" t="s">
        <v>8</v>
      </c>
      <c r="B8" s="19" t="s">
        <v>18</v>
      </c>
      <c r="C8" s="20" t="s">
        <v>15</v>
      </c>
      <c r="D8" s="19" t="s">
        <v>10</v>
      </c>
      <c r="E8" s="21" t="s">
        <v>11</v>
      </c>
      <c r="F8" s="22">
        <v>72</v>
      </c>
      <c r="G8" s="18">
        <f>F8*C8</f>
        <v>360</v>
      </c>
    </row>
    <row r="9" spans="1:7">
      <c r="A9" s="14" t="s">
        <v>8</v>
      </c>
      <c r="B9" s="14" t="s">
        <v>19</v>
      </c>
      <c r="C9" s="23" t="s">
        <v>20</v>
      </c>
      <c r="D9" s="14" t="s">
        <v>10</v>
      </c>
      <c r="E9" s="16" t="s">
        <v>11</v>
      </c>
      <c r="F9" s="17">
        <v>54</v>
      </c>
      <c r="G9" s="18">
        <f>F9*C9</f>
        <v>1026</v>
      </c>
    </row>
    <row r="10" spans="1:7">
      <c r="A10" s="19" t="s">
        <v>8</v>
      </c>
      <c r="B10" s="19" t="s">
        <v>21</v>
      </c>
      <c r="C10" s="20" t="s">
        <v>22</v>
      </c>
      <c r="D10" s="19" t="s">
        <v>10</v>
      </c>
      <c r="E10" s="21" t="s">
        <v>11</v>
      </c>
      <c r="F10" s="22">
        <v>55</v>
      </c>
      <c r="G10" s="18">
        <f>F10*C10</f>
        <v>330</v>
      </c>
    </row>
    <row r="11" spans="1:7">
      <c r="A11" s="19" t="s">
        <v>8</v>
      </c>
      <c r="B11" s="24" t="s">
        <v>23</v>
      </c>
      <c r="C11" s="20" t="s">
        <v>24</v>
      </c>
      <c r="D11" s="19" t="s">
        <v>10</v>
      </c>
      <c r="E11" s="21" t="s">
        <v>11</v>
      </c>
      <c r="F11" s="22">
        <v>22</v>
      </c>
      <c r="G11" s="18">
        <f>F11*C11</f>
        <v>134.19999999999999</v>
      </c>
    </row>
    <row r="12" spans="1:7" ht="13.8">
      <c r="A12" s="19" t="s">
        <v>8</v>
      </c>
      <c r="B12" s="24" t="s">
        <v>25</v>
      </c>
      <c r="C12" s="20" t="s">
        <v>26</v>
      </c>
      <c r="D12" s="19" t="s">
        <v>10</v>
      </c>
      <c r="E12" s="21" t="s">
        <v>11</v>
      </c>
      <c r="F12" s="22">
        <v>22</v>
      </c>
      <c r="G12" s="18">
        <f>F12*C12</f>
        <v>136.4</v>
      </c>
    </row>
    <row r="13" spans="1:7" ht="13.2">
      <c r="F13" s="25" t="s">
        <v>138</v>
      </c>
      <c r="G13" s="26">
        <f>SUM(G4:G12)</f>
        <v>3193.6</v>
      </c>
    </row>
    <row r="14" spans="1:7" ht="13.2"/>
    <row r="15" spans="1:7" ht="13.2"/>
    <row r="16" spans="1:7" ht="13.2"/>
    <row r="17" ht="13.2"/>
    <row r="18" ht="13.2"/>
    <row r="19" ht="13.2"/>
    <row r="20" ht="13.2"/>
    <row r="21" ht="13.2"/>
    <row r="22" ht="13.2"/>
    <row r="23" ht="13.2"/>
    <row r="24" ht="13.2"/>
    <row r="25" ht="13.2"/>
    <row r="26" ht="13.2"/>
    <row r="27" ht="13.2"/>
    <row r="28" ht="13.2"/>
    <row r="29" ht="13.2"/>
    <row r="30" ht="13.2"/>
    <row r="31" ht="13.2"/>
    <row r="32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spans="6:7" ht="13.2"/>
    <row r="82" spans="6:7" ht="13.2"/>
    <row r="83" spans="6:7" ht="13.2"/>
    <row r="84" spans="6:7" ht="13.2"/>
    <row r="85" spans="6:7" ht="13.2"/>
    <row r="86" spans="6:7" ht="13.2"/>
    <row r="87" spans="6:7" ht="13.2"/>
    <row r="88" spans="6:7" ht="13.2"/>
    <row r="89" spans="6:7" ht="13.2">
      <c r="F89" s="8"/>
      <c r="G89" s="9"/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B8B9-51BC-442F-94DB-8C00F573C889}">
  <dimension ref="A1:G18"/>
  <sheetViews>
    <sheetView workbookViewId="0">
      <selection activeCell="F18" sqref="F18:G18"/>
    </sheetView>
  </sheetViews>
  <sheetFormatPr defaultRowHeight="13.2"/>
  <cols>
    <col min="1" max="1" width="20.44140625" customWidth="1"/>
    <col min="2" max="2" width="23.77734375" customWidth="1"/>
    <col min="3" max="3" width="16.88671875" customWidth="1"/>
    <col min="4" max="4" width="17.44140625" customWidth="1"/>
    <col min="5" max="6" width="16.6640625" customWidth="1"/>
    <col min="7" max="7" width="15.6640625" customWidth="1"/>
  </cols>
  <sheetData>
    <row r="1" spans="1:7">
      <c r="A1" s="11" t="s">
        <v>0</v>
      </c>
      <c r="B1" s="11"/>
      <c r="C1" s="11"/>
      <c r="D1" s="11"/>
      <c r="E1" s="11"/>
      <c r="F1" s="11"/>
      <c r="G1" s="11"/>
    </row>
    <row r="2" spans="1:7">
      <c r="A2" s="11"/>
      <c r="B2" s="11"/>
      <c r="C2" s="11"/>
      <c r="D2" s="11"/>
      <c r="E2" s="11"/>
      <c r="F2" s="11"/>
      <c r="G2" s="11"/>
    </row>
    <row r="3" spans="1:7" ht="13.8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3" t="s">
        <v>6</v>
      </c>
      <c r="G3" s="13" t="s">
        <v>7</v>
      </c>
    </row>
    <row r="4" spans="1:7" ht="13.8">
      <c r="A4" s="14" t="s">
        <v>80</v>
      </c>
      <c r="B4" s="14" t="s">
        <v>81</v>
      </c>
      <c r="C4" s="23" t="s">
        <v>82</v>
      </c>
      <c r="D4" s="14" t="s">
        <v>10</v>
      </c>
      <c r="E4" s="16" t="s">
        <v>11</v>
      </c>
      <c r="F4" s="17">
        <v>12.84</v>
      </c>
      <c r="G4" s="18">
        <f>F4*C4</f>
        <v>898.8</v>
      </c>
    </row>
    <row r="5" spans="1:7" ht="13.8">
      <c r="A5" s="19" t="s">
        <v>80</v>
      </c>
      <c r="B5" s="19" t="s">
        <v>83</v>
      </c>
      <c r="C5" s="20" t="s">
        <v>15</v>
      </c>
      <c r="D5" s="19" t="s">
        <v>10</v>
      </c>
      <c r="E5" s="21" t="s">
        <v>11</v>
      </c>
      <c r="F5" s="22">
        <v>18</v>
      </c>
      <c r="G5" s="18">
        <f>F5*C5</f>
        <v>90</v>
      </c>
    </row>
    <row r="6" spans="1:7" ht="13.8">
      <c r="A6" s="14" t="s">
        <v>80</v>
      </c>
      <c r="B6" s="14" t="s">
        <v>84</v>
      </c>
      <c r="C6" s="23" t="s">
        <v>20</v>
      </c>
      <c r="D6" s="14" t="s">
        <v>10</v>
      </c>
      <c r="E6" s="16" t="s">
        <v>11</v>
      </c>
      <c r="F6" s="17">
        <v>55</v>
      </c>
      <c r="G6" s="18">
        <f>F6*C6</f>
        <v>1045</v>
      </c>
    </row>
    <row r="7" spans="1:7" ht="13.8">
      <c r="A7" s="14" t="s">
        <v>80</v>
      </c>
      <c r="B7" s="14" t="s">
        <v>85</v>
      </c>
      <c r="C7" s="23" t="s">
        <v>86</v>
      </c>
      <c r="D7" s="14" t="s">
        <v>10</v>
      </c>
      <c r="E7" s="16" t="s">
        <v>11</v>
      </c>
      <c r="F7" s="17">
        <v>21</v>
      </c>
      <c r="G7" s="18">
        <f>F7*C7</f>
        <v>252</v>
      </c>
    </row>
    <row r="8" spans="1:7" ht="13.8">
      <c r="A8" s="19" t="s">
        <v>80</v>
      </c>
      <c r="B8" s="19" t="s">
        <v>87</v>
      </c>
      <c r="C8" s="20" t="s">
        <v>88</v>
      </c>
      <c r="D8" s="19" t="s">
        <v>10</v>
      </c>
      <c r="E8" s="21" t="s">
        <v>11</v>
      </c>
      <c r="F8" s="22">
        <v>19</v>
      </c>
      <c r="G8" s="18">
        <f>F8*C8</f>
        <v>589</v>
      </c>
    </row>
    <row r="9" spans="1:7" ht="13.8">
      <c r="A9" s="14" t="s">
        <v>80</v>
      </c>
      <c r="B9" s="14" t="s">
        <v>89</v>
      </c>
      <c r="C9" s="23" t="s">
        <v>90</v>
      </c>
      <c r="D9" s="14" t="s">
        <v>10</v>
      </c>
      <c r="E9" s="16" t="s">
        <v>11</v>
      </c>
      <c r="F9" s="17">
        <v>19</v>
      </c>
      <c r="G9" s="18">
        <f>F9*C9</f>
        <v>1197</v>
      </c>
    </row>
    <row r="10" spans="1:7" ht="13.8">
      <c r="A10" s="19" t="s">
        <v>80</v>
      </c>
      <c r="B10" s="19" t="s">
        <v>91</v>
      </c>
      <c r="C10" s="20" t="s">
        <v>86</v>
      </c>
      <c r="D10" s="19" t="s">
        <v>10</v>
      </c>
      <c r="E10" s="21" t="s">
        <v>11</v>
      </c>
      <c r="F10" s="22">
        <v>19</v>
      </c>
      <c r="G10" s="18">
        <f>F10*C10</f>
        <v>228</v>
      </c>
    </row>
    <row r="11" spans="1:7" ht="13.8">
      <c r="A11" s="14" t="s">
        <v>80</v>
      </c>
      <c r="B11" s="14" t="s">
        <v>92</v>
      </c>
      <c r="C11" s="23" t="s">
        <v>93</v>
      </c>
      <c r="D11" s="14" t="s">
        <v>10</v>
      </c>
      <c r="E11" s="16" t="s">
        <v>11</v>
      </c>
      <c r="F11" s="17">
        <v>55</v>
      </c>
      <c r="G11" s="18">
        <f>F11*C11</f>
        <v>605</v>
      </c>
    </row>
    <row r="12" spans="1:7" ht="13.8">
      <c r="A12" s="19" t="s">
        <v>80</v>
      </c>
      <c r="B12" s="19" t="s">
        <v>94</v>
      </c>
      <c r="C12" s="20" t="s">
        <v>22</v>
      </c>
      <c r="D12" s="19" t="s">
        <v>10</v>
      </c>
      <c r="E12" s="21" t="s">
        <v>11</v>
      </c>
      <c r="F12" s="22">
        <v>52</v>
      </c>
      <c r="G12" s="18">
        <f>F12*C12</f>
        <v>312</v>
      </c>
    </row>
    <row r="13" spans="1:7" ht="13.8">
      <c r="A13" s="14" t="s">
        <v>80</v>
      </c>
      <c r="B13" s="14" t="s">
        <v>95</v>
      </c>
      <c r="C13" s="23" t="s">
        <v>96</v>
      </c>
      <c r="D13" s="14" t="s">
        <v>10</v>
      </c>
      <c r="E13" s="16" t="s">
        <v>11</v>
      </c>
      <c r="F13" s="17">
        <v>28</v>
      </c>
      <c r="G13" s="18">
        <f>F13*C13</f>
        <v>196</v>
      </c>
    </row>
    <row r="14" spans="1:7" ht="13.8">
      <c r="A14" s="19" t="s">
        <v>80</v>
      </c>
      <c r="B14" s="19" t="s">
        <v>97</v>
      </c>
      <c r="C14" s="20" t="s">
        <v>98</v>
      </c>
      <c r="D14" s="19" t="s">
        <v>10</v>
      </c>
      <c r="E14" s="21" t="s">
        <v>11</v>
      </c>
      <c r="F14" s="22">
        <v>54.56</v>
      </c>
      <c r="G14" s="18">
        <f>F14*C14</f>
        <v>163.68</v>
      </c>
    </row>
    <row r="15" spans="1:7" ht="13.8">
      <c r="A15" s="14" t="s">
        <v>80</v>
      </c>
      <c r="B15" s="14" t="s">
        <v>99</v>
      </c>
      <c r="C15" s="23" t="s">
        <v>20</v>
      </c>
      <c r="D15" s="14" t="s">
        <v>10</v>
      </c>
      <c r="E15" s="16" t="s">
        <v>11</v>
      </c>
      <c r="F15" s="17">
        <v>30</v>
      </c>
      <c r="G15" s="18">
        <f>F15*C15</f>
        <v>570</v>
      </c>
    </row>
    <row r="16" spans="1:7" ht="13.8">
      <c r="A16" s="14" t="s">
        <v>80</v>
      </c>
      <c r="B16" s="29" t="s">
        <v>100</v>
      </c>
      <c r="C16" s="23" t="s">
        <v>101</v>
      </c>
      <c r="D16" s="14" t="s">
        <v>10</v>
      </c>
      <c r="E16" s="16" t="s">
        <v>11</v>
      </c>
      <c r="F16" s="17">
        <v>30</v>
      </c>
      <c r="G16" s="18">
        <f>F16*C16</f>
        <v>573</v>
      </c>
    </row>
    <row r="17" spans="1:7" ht="13.8">
      <c r="A17" s="14" t="s">
        <v>80</v>
      </c>
      <c r="B17" s="29" t="s">
        <v>102</v>
      </c>
      <c r="C17" s="23" t="s">
        <v>103</v>
      </c>
      <c r="D17" s="14" t="s">
        <v>10</v>
      </c>
      <c r="E17" s="16" t="s">
        <v>11</v>
      </c>
      <c r="F17" s="17">
        <v>17.420000000000002</v>
      </c>
      <c r="G17" s="18">
        <f>F17*C17</f>
        <v>334.464</v>
      </c>
    </row>
    <row r="18" spans="1:7">
      <c r="F18" s="25" t="s">
        <v>138</v>
      </c>
      <c r="G18" s="26">
        <f>SUM(G4:G17)</f>
        <v>7053.9440000000004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6DE6-0443-4D37-9130-BEF2257D8980}">
  <dimension ref="A1:G14"/>
  <sheetViews>
    <sheetView workbookViewId="0">
      <selection activeCell="D4" sqref="D4:D13"/>
    </sheetView>
  </sheetViews>
  <sheetFormatPr defaultRowHeight="13.2"/>
  <cols>
    <col min="1" max="1" width="16.88671875" customWidth="1"/>
    <col min="2" max="2" width="29.88671875" customWidth="1"/>
    <col min="3" max="3" width="16.6640625" customWidth="1"/>
    <col min="4" max="4" width="15.109375" customWidth="1"/>
    <col min="5" max="5" width="16" customWidth="1"/>
    <col min="6" max="6" width="15.88671875" customWidth="1"/>
    <col min="7" max="7" width="15.21875" customWidth="1"/>
  </cols>
  <sheetData>
    <row r="1" spans="1:7">
      <c r="A1" s="11" t="s">
        <v>0</v>
      </c>
      <c r="B1" s="11"/>
      <c r="C1" s="11"/>
      <c r="D1" s="11"/>
      <c r="E1" s="11"/>
      <c r="F1" s="11"/>
      <c r="G1" s="11"/>
    </row>
    <row r="2" spans="1:7">
      <c r="A2" s="11"/>
      <c r="B2" s="11"/>
      <c r="C2" s="11"/>
      <c r="D2" s="11"/>
      <c r="E2" s="11"/>
      <c r="F2" s="11"/>
      <c r="G2" s="11"/>
    </row>
    <row r="3" spans="1:7" ht="13.8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3" t="s">
        <v>6</v>
      </c>
      <c r="G3" s="13" t="s">
        <v>7</v>
      </c>
    </row>
    <row r="4" spans="1:7" ht="13.8">
      <c r="A4" s="19" t="s">
        <v>137</v>
      </c>
      <c r="B4" s="19" t="s">
        <v>104</v>
      </c>
      <c r="C4" s="20" t="s">
        <v>59</v>
      </c>
      <c r="D4" s="21" t="s">
        <v>139</v>
      </c>
      <c r="E4" s="21" t="s">
        <v>30</v>
      </c>
      <c r="F4" s="22">
        <v>1400</v>
      </c>
      <c r="G4" s="18">
        <f>F4*C4</f>
        <v>979.99999999999989</v>
      </c>
    </row>
    <row r="5" spans="1:7" ht="13.8">
      <c r="A5" s="19" t="s">
        <v>137</v>
      </c>
      <c r="B5" s="14" t="s">
        <v>105</v>
      </c>
      <c r="C5" s="23" t="s">
        <v>40</v>
      </c>
      <c r="D5" s="21" t="s">
        <v>139</v>
      </c>
      <c r="E5" s="16" t="s">
        <v>30</v>
      </c>
      <c r="F5" s="17">
        <v>980</v>
      </c>
      <c r="G5" s="18">
        <f>F5*C5</f>
        <v>882</v>
      </c>
    </row>
    <row r="6" spans="1:7" ht="13.8">
      <c r="A6" s="19" t="s">
        <v>137</v>
      </c>
      <c r="B6" s="19" t="s">
        <v>106</v>
      </c>
      <c r="C6" s="20" t="s">
        <v>38</v>
      </c>
      <c r="D6" s="21" t="s">
        <v>139</v>
      </c>
      <c r="E6" s="21" t="s">
        <v>30</v>
      </c>
      <c r="F6" s="22">
        <v>1124</v>
      </c>
      <c r="G6" s="18">
        <f>F6*C6</f>
        <v>112.4</v>
      </c>
    </row>
    <row r="7" spans="1:7" ht="13.8">
      <c r="A7" s="19" t="s">
        <v>137</v>
      </c>
      <c r="B7" s="14" t="s">
        <v>107</v>
      </c>
      <c r="C7" s="23" t="s">
        <v>29</v>
      </c>
      <c r="D7" s="21" t="s">
        <v>139</v>
      </c>
      <c r="E7" s="16" t="s">
        <v>30</v>
      </c>
      <c r="F7" s="17">
        <v>537</v>
      </c>
      <c r="G7" s="18">
        <f>F7*C7</f>
        <v>537</v>
      </c>
    </row>
    <row r="8" spans="1:7" ht="13.8">
      <c r="A8" s="19" t="s">
        <v>137</v>
      </c>
      <c r="B8" s="24" t="s">
        <v>108</v>
      </c>
      <c r="C8" s="20" t="s">
        <v>36</v>
      </c>
      <c r="D8" s="21" t="s">
        <v>139</v>
      </c>
      <c r="E8" s="21" t="s">
        <v>30</v>
      </c>
      <c r="F8" s="22">
        <v>388</v>
      </c>
      <c r="G8" s="18">
        <f>F8*C8</f>
        <v>310.40000000000003</v>
      </c>
    </row>
    <row r="9" spans="1:7" ht="13.8">
      <c r="A9" s="19" t="s">
        <v>137</v>
      </c>
      <c r="B9" s="24" t="s">
        <v>109</v>
      </c>
      <c r="C9" s="20" t="s">
        <v>40</v>
      </c>
      <c r="D9" s="21" t="s">
        <v>139</v>
      </c>
      <c r="E9" s="21" t="s">
        <v>30</v>
      </c>
      <c r="F9" s="22">
        <v>683</v>
      </c>
      <c r="G9" s="18">
        <f>F9*C9</f>
        <v>614.70000000000005</v>
      </c>
    </row>
    <row r="10" spans="1:7" ht="13.8">
      <c r="A10" s="19" t="s">
        <v>137</v>
      </c>
      <c r="B10" s="24" t="s">
        <v>110</v>
      </c>
      <c r="C10" s="20" t="s">
        <v>111</v>
      </c>
      <c r="D10" s="21" t="s">
        <v>139</v>
      </c>
      <c r="E10" s="21" t="s">
        <v>30</v>
      </c>
      <c r="F10" s="22">
        <v>655</v>
      </c>
      <c r="G10" s="18">
        <f>F10*C10</f>
        <v>65.5</v>
      </c>
    </row>
    <row r="11" spans="1:7" ht="13.8">
      <c r="A11" s="19" t="s">
        <v>137</v>
      </c>
      <c r="B11" s="24" t="s">
        <v>112</v>
      </c>
      <c r="C11" s="20" t="s">
        <v>113</v>
      </c>
      <c r="D11" s="21" t="s">
        <v>139</v>
      </c>
      <c r="E11" s="21" t="s">
        <v>30</v>
      </c>
      <c r="F11" s="22">
        <v>200</v>
      </c>
      <c r="G11" s="18">
        <f>F11*C11</f>
        <v>22</v>
      </c>
    </row>
    <row r="12" spans="1:7" ht="13.8">
      <c r="A12" s="19" t="s">
        <v>137</v>
      </c>
      <c r="B12" s="19" t="s">
        <v>114</v>
      </c>
      <c r="C12" s="20" t="s">
        <v>115</v>
      </c>
      <c r="D12" s="21" t="s">
        <v>139</v>
      </c>
      <c r="E12" s="21" t="s">
        <v>30</v>
      </c>
      <c r="F12" s="22">
        <v>830</v>
      </c>
      <c r="G12" s="18">
        <f>F12*C12</f>
        <v>99.6</v>
      </c>
    </row>
    <row r="13" spans="1:7" ht="13.8">
      <c r="A13" s="19" t="s">
        <v>137</v>
      </c>
      <c r="B13" s="14" t="s">
        <v>116</v>
      </c>
      <c r="C13" s="23" t="s">
        <v>38</v>
      </c>
      <c r="D13" s="21" t="s">
        <v>139</v>
      </c>
      <c r="E13" s="16" t="s">
        <v>30</v>
      </c>
      <c r="F13" s="17">
        <v>560</v>
      </c>
      <c r="G13" s="18">
        <f>F13*C13</f>
        <v>56</v>
      </c>
    </row>
    <row r="14" spans="1:7">
      <c r="F14" s="27" t="s">
        <v>138</v>
      </c>
      <c r="G14" s="28">
        <f>SUM(G4:G13)</f>
        <v>3679.6</v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FB48-F332-472C-9892-70351ADF5CE5}">
  <dimension ref="A1:G13"/>
  <sheetViews>
    <sheetView workbookViewId="0">
      <selection activeCell="D4" sqref="D4:D12"/>
    </sheetView>
  </sheetViews>
  <sheetFormatPr defaultRowHeight="13.2"/>
  <cols>
    <col min="1" max="1" width="23.109375" customWidth="1"/>
    <col min="2" max="2" width="23.6640625" customWidth="1"/>
    <col min="3" max="3" width="16.77734375" customWidth="1"/>
    <col min="4" max="4" width="13.6640625" customWidth="1"/>
    <col min="5" max="5" width="16.21875" customWidth="1"/>
    <col min="6" max="6" width="15.109375" customWidth="1"/>
    <col min="7" max="7" width="15.88671875" customWidth="1"/>
  </cols>
  <sheetData>
    <row r="1" spans="1:7">
      <c r="A1" s="11" t="s">
        <v>0</v>
      </c>
      <c r="B1" s="11"/>
      <c r="C1" s="11"/>
      <c r="D1" s="11"/>
      <c r="E1" s="11"/>
      <c r="F1" s="11"/>
      <c r="G1" s="11"/>
    </row>
    <row r="2" spans="1:7">
      <c r="A2" s="11"/>
      <c r="B2" s="11"/>
      <c r="C2" s="11"/>
      <c r="D2" s="11"/>
      <c r="E2" s="11"/>
      <c r="F2" s="11"/>
      <c r="G2" s="11"/>
    </row>
    <row r="3" spans="1:7" ht="13.8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3" t="s">
        <v>6</v>
      </c>
      <c r="G3" s="13" t="s">
        <v>7</v>
      </c>
    </row>
    <row r="4" spans="1:7" ht="13.8">
      <c r="A4" s="19" t="s">
        <v>72</v>
      </c>
      <c r="B4" s="19" t="s">
        <v>73</v>
      </c>
      <c r="C4" s="20" t="s">
        <v>29</v>
      </c>
      <c r="D4" s="21" t="s">
        <v>139</v>
      </c>
      <c r="E4" s="21" t="s">
        <v>30</v>
      </c>
      <c r="F4" s="22">
        <v>1239</v>
      </c>
      <c r="G4" s="18">
        <f>F4*C4</f>
        <v>1239</v>
      </c>
    </row>
    <row r="5" spans="1:7" ht="13.8">
      <c r="A5" s="14" t="s">
        <v>72</v>
      </c>
      <c r="B5" s="14" t="s">
        <v>74</v>
      </c>
      <c r="C5" s="23">
        <v>1</v>
      </c>
      <c r="D5" s="21" t="s">
        <v>139</v>
      </c>
      <c r="E5" s="16" t="s">
        <v>11</v>
      </c>
      <c r="F5" s="17">
        <v>980</v>
      </c>
      <c r="G5" s="18">
        <f>F5*C5</f>
        <v>980</v>
      </c>
    </row>
    <row r="6" spans="1:7" ht="13.8">
      <c r="A6" s="19" t="s">
        <v>72</v>
      </c>
      <c r="B6" s="19" t="s">
        <v>75</v>
      </c>
      <c r="C6" s="20" t="s">
        <v>29</v>
      </c>
      <c r="D6" s="21" t="s">
        <v>139</v>
      </c>
      <c r="E6" s="21" t="s">
        <v>30</v>
      </c>
      <c r="F6" s="22">
        <v>780</v>
      </c>
      <c r="G6" s="18">
        <f>F6*C6</f>
        <v>780</v>
      </c>
    </row>
    <row r="7" spans="1:7" ht="13.8">
      <c r="A7" s="14" t="s">
        <v>72</v>
      </c>
      <c r="B7" s="14" t="s">
        <v>76</v>
      </c>
      <c r="C7" s="15">
        <v>1</v>
      </c>
      <c r="D7" s="21" t="s">
        <v>139</v>
      </c>
      <c r="E7" s="16" t="s">
        <v>11</v>
      </c>
      <c r="F7" s="17">
        <v>474</v>
      </c>
      <c r="G7" s="18">
        <f>F7*C7</f>
        <v>474</v>
      </c>
    </row>
    <row r="8" spans="1:7" ht="13.8">
      <c r="A8" s="19" t="s">
        <v>72</v>
      </c>
      <c r="B8" s="19" t="s">
        <v>77</v>
      </c>
      <c r="C8" s="20" t="s">
        <v>49</v>
      </c>
      <c r="D8" s="21" t="s">
        <v>139</v>
      </c>
      <c r="E8" s="21" t="s">
        <v>30</v>
      </c>
      <c r="F8" s="22">
        <v>219</v>
      </c>
      <c r="G8" s="18">
        <f>F8*C8</f>
        <v>87.600000000000009</v>
      </c>
    </row>
    <row r="9" spans="1:7" ht="13.8">
      <c r="A9" s="14" t="s">
        <v>72</v>
      </c>
      <c r="B9" s="14" t="s">
        <v>78</v>
      </c>
      <c r="C9" s="23" t="s">
        <v>29</v>
      </c>
      <c r="D9" s="21" t="s">
        <v>139</v>
      </c>
      <c r="E9" s="16" t="s">
        <v>30</v>
      </c>
      <c r="F9" s="17">
        <v>348</v>
      </c>
      <c r="G9" s="18">
        <f>F9*C9</f>
        <v>348</v>
      </c>
    </row>
    <row r="10" spans="1:7" ht="13.8">
      <c r="A10" s="19" t="s">
        <v>72</v>
      </c>
      <c r="B10" s="19" t="s">
        <v>79</v>
      </c>
      <c r="C10" s="20" t="s">
        <v>29</v>
      </c>
      <c r="D10" s="21" t="s">
        <v>139</v>
      </c>
      <c r="E10" s="21" t="s">
        <v>30</v>
      </c>
      <c r="F10" s="22">
        <v>1200</v>
      </c>
      <c r="G10" s="18">
        <f>F10*C10</f>
        <v>1200</v>
      </c>
    </row>
    <row r="11" spans="1:7" ht="13.8">
      <c r="A11" s="3" t="s">
        <v>72</v>
      </c>
      <c r="B11" s="3" t="s">
        <v>71</v>
      </c>
      <c r="C11" s="7" t="s">
        <v>49</v>
      </c>
      <c r="D11" s="21" t="s">
        <v>139</v>
      </c>
      <c r="E11" s="4" t="s">
        <v>30</v>
      </c>
      <c r="F11" s="5">
        <v>790</v>
      </c>
      <c r="G11" s="6">
        <f>F11*C11</f>
        <v>316</v>
      </c>
    </row>
    <row r="12" spans="1:7" ht="13.8">
      <c r="A12" s="14" t="s">
        <v>72</v>
      </c>
      <c r="B12" s="14" t="s">
        <v>65</v>
      </c>
      <c r="C12" s="15">
        <v>1.1000000000000001</v>
      </c>
      <c r="D12" s="21" t="s">
        <v>139</v>
      </c>
      <c r="E12" s="16" t="s">
        <v>11</v>
      </c>
      <c r="F12" s="17">
        <v>278</v>
      </c>
      <c r="G12" s="18">
        <f>F12*C12</f>
        <v>305.8</v>
      </c>
    </row>
    <row r="13" spans="1:7">
      <c r="F13" s="27" t="s">
        <v>138</v>
      </c>
      <c r="G13" s="28">
        <f>SUM(G4:G12)</f>
        <v>5730.4000000000005</v>
      </c>
    </row>
  </sheetData>
  <mergeCells count="1">
    <mergeCell ref="A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3204-FFFF-4A6A-94A3-4E1B975AEB13}">
  <dimension ref="A1:G26"/>
  <sheetViews>
    <sheetView workbookViewId="0">
      <selection activeCell="D15" sqref="D15"/>
    </sheetView>
  </sheetViews>
  <sheetFormatPr defaultRowHeight="13.2"/>
  <cols>
    <col min="1" max="1" width="26.5546875" customWidth="1"/>
    <col min="2" max="2" width="29.33203125" customWidth="1"/>
    <col min="3" max="3" width="15.6640625" customWidth="1"/>
    <col min="4" max="4" width="15.77734375" customWidth="1"/>
    <col min="5" max="5" width="16.109375" customWidth="1"/>
    <col min="6" max="6" width="15.5546875" customWidth="1"/>
    <col min="7" max="7" width="17" customWidth="1"/>
  </cols>
  <sheetData>
    <row r="1" spans="1:7">
      <c r="A1" s="11" t="s">
        <v>0</v>
      </c>
      <c r="B1" s="11"/>
      <c r="C1" s="11"/>
      <c r="D1" s="11"/>
      <c r="E1" s="11"/>
      <c r="F1" s="11"/>
      <c r="G1" s="11"/>
    </row>
    <row r="2" spans="1:7">
      <c r="A2" s="11"/>
      <c r="B2" s="11"/>
      <c r="C2" s="11"/>
      <c r="D2" s="11"/>
      <c r="E2" s="11"/>
      <c r="F2" s="11"/>
      <c r="G2" s="11"/>
    </row>
    <row r="3" spans="1:7" ht="13.8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3" t="s">
        <v>6</v>
      </c>
      <c r="G3" s="13" t="s">
        <v>7</v>
      </c>
    </row>
    <row r="4" spans="1:7" ht="13.8">
      <c r="A4" s="19" t="s">
        <v>41</v>
      </c>
      <c r="B4" s="19" t="s">
        <v>42</v>
      </c>
      <c r="C4" s="20" t="s">
        <v>43</v>
      </c>
      <c r="D4" s="21" t="s">
        <v>139</v>
      </c>
      <c r="E4" s="21" t="s">
        <v>30</v>
      </c>
      <c r="F4" s="22">
        <v>440</v>
      </c>
      <c r="G4" s="18">
        <f>F4*C4</f>
        <v>132</v>
      </c>
    </row>
    <row r="5" spans="1:7" ht="13.8">
      <c r="A5" s="14" t="s">
        <v>41</v>
      </c>
      <c r="B5" s="14" t="s">
        <v>44</v>
      </c>
      <c r="C5" s="15">
        <v>1.5</v>
      </c>
      <c r="D5" s="21" t="s">
        <v>139</v>
      </c>
      <c r="E5" s="16" t="s">
        <v>11</v>
      </c>
      <c r="F5" s="17">
        <v>340</v>
      </c>
      <c r="G5" s="18">
        <f>F5*C5</f>
        <v>510</v>
      </c>
    </row>
    <row r="6" spans="1:7" ht="13.8">
      <c r="A6" s="19" t="s">
        <v>41</v>
      </c>
      <c r="B6" s="19" t="s">
        <v>45</v>
      </c>
      <c r="C6" s="20" t="s">
        <v>38</v>
      </c>
      <c r="D6" s="21" t="s">
        <v>139</v>
      </c>
      <c r="E6" s="21" t="s">
        <v>30</v>
      </c>
      <c r="F6" s="22">
        <v>480</v>
      </c>
      <c r="G6" s="18">
        <f>F6*C6</f>
        <v>48</v>
      </c>
    </row>
    <row r="7" spans="1:7" ht="13.8">
      <c r="A7" s="14" t="s">
        <v>41</v>
      </c>
      <c r="B7" s="14" t="s">
        <v>46</v>
      </c>
      <c r="C7" s="23" t="s">
        <v>36</v>
      </c>
      <c r="D7" s="21" t="s">
        <v>139</v>
      </c>
      <c r="E7" s="16" t="s">
        <v>30</v>
      </c>
      <c r="F7" s="17">
        <v>286</v>
      </c>
      <c r="G7" s="18">
        <f>F7*C7</f>
        <v>228.8</v>
      </c>
    </row>
    <row r="8" spans="1:7" ht="13.8">
      <c r="A8" s="19" t="s">
        <v>41</v>
      </c>
      <c r="B8" s="19" t="s">
        <v>47</v>
      </c>
      <c r="C8" s="20" t="s">
        <v>43</v>
      </c>
      <c r="D8" s="21" t="s">
        <v>139</v>
      </c>
      <c r="E8" s="21" t="s">
        <v>30</v>
      </c>
      <c r="F8" s="22">
        <v>465</v>
      </c>
      <c r="G8" s="18">
        <f>F8*C8</f>
        <v>139.5</v>
      </c>
    </row>
    <row r="9" spans="1:7" ht="13.8">
      <c r="A9" s="14" t="s">
        <v>41</v>
      </c>
      <c r="B9" s="14" t="s">
        <v>48</v>
      </c>
      <c r="C9" s="23" t="s">
        <v>49</v>
      </c>
      <c r="D9" s="21" t="s">
        <v>139</v>
      </c>
      <c r="E9" s="16" t="s">
        <v>30</v>
      </c>
      <c r="F9" s="17">
        <v>379</v>
      </c>
      <c r="G9" s="18">
        <f>F9*C9</f>
        <v>151.6</v>
      </c>
    </row>
    <row r="10" spans="1:7" ht="13.8">
      <c r="A10" s="19" t="s">
        <v>41</v>
      </c>
      <c r="B10" s="19" t="s">
        <v>50</v>
      </c>
      <c r="C10" s="20" t="s">
        <v>29</v>
      </c>
      <c r="D10" s="21" t="s">
        <v>139</v>
      </c>
      <c r="E10" s="21" t="s">
        <v>30</v>
      </c>
      <c r="F10" s="22">
        <v>320</v>
      </c>
      <c r="G10" s="18">
        <f>F10*C10</f>
        <v>320</v>
      </c>
    </row>
    <row r="11" spans="1:7" ht="13.8">
      <c r="A11" s="19" t="s">
        <v>41</v>
      </c>
      <c r="B11" s="19" t="s">
        <v>52</v>
      </c>
      <c r="C11" s="20" t="s">
        <v>29</v>
      </c>
      <c r="D11" s="21" t="s">
        <v>139</v>
      </c>
      <c r="E11" s="21" t="s">
        <v>30</v>
      </c>
      <c r="F11" s="22">
        <v>1020</v>
      </c>
      <c r="G11" s="18">
        <f>F11*C11</f>
        <v>1020</v>
      </c>
    </row>
    <row r="12" spans="1:7" ht="13.8">
      <c r="A12" s="14" t="s">
        <v>41</v>
      </c>
      <c r="B12" s="14" t="s">
        <v>53</v>
      </c>
      <c r="C12" s="23" t="s">
        <v>29</v>
      </c>
      <c r="D12" s="21" t="s">
        <v>139</v>
      </c>
      <c r="E12" s="16" t="s">
        <v>30</v>
      </c>
      <c r="F12" s="17">
        <v>586</v>
      </c>
      <c r="G12" s="18">
        <f>F12*C12</f>
        <v>586</v>
      </c>
    </row>
    <row r="13" spans="1:7" ht="13.8">
      <c r="A13" s="19" t="s">
        <v>41</v>
      </c>
      <c r="B13" s="19" t="s">
        <v>54</v>
      </c>
      <c r="C13" s="20" t="s">
        <v>29</v>
      </c>
      <c r="D13" s="21" t="s">
        <v>139</v>
      </c>
      <c r="E13" s="21" t="s">
        <v>30</v>
      </c>
      <c r="F13" s="22">
        <v>678</v>
      </c>
      <c r="G13" s="18">
        <f>F13*C13</f>
        <v>678</v>
      </c>
    </row>
    <row r="14" spans="1:7" ht="13.8">
      <c r="A14" s="14" t="s">
        <v>41</v>
      </c>
      <c r="B14" s="14" t="s">
        <v>55</v>
      </c>
      <c r="C14" s="23" t="s">
        <v>56</v>
      </c>
      <c r="D14" s="21" t="s">
        <v>139</v>
      </c>
      <c r="E14" s="16" t="s">
        <v>30</v>
      </c>
      <c r="F14" s="17">
        <v>318</v>
      </c>
      <c r="G14" s="18">
        <f>F14*C14</f>
        <v>159</v>
      </c>
    </row>
    <row r="15" spans="1:7" ht="13.8">
      <c r="A15" s="19" t="s">
        <v>41</v>
      </c>
      <c r="B15" s="24" t="s">
        <v>57</v>
      </c>
      <c r="C15" s="30">
        <v>4</v>
      </c>
      <c r="D15" s="21" t="s">
        <v>139</v>
      </c>
      <c r="E15" s="21" t="s">
        <v>11</v>
      </c>
      <c r="F15" s="22">
        <v>156</v>
      </c>
      <c r="G15" s="18">
        <f>F15*C15</f>
        <v>624</v>
      </c>
    </row>
    <row r="16" spans="1:7" ht="13.8">
      <c r="A16" s="19" t="s">
        <v>41</v>
      </c>
      <c r="B16" s="19" t="s">
        <v>58</v>
      </c>
      <c r="C16" s="20" t="s">
        <v>59</v>
      </c>
      <c r="D16" s="21" t="s">
        <v>139</v>
      </c>
      <c r="E16" s="21" t="s">
        <v>30</v>
      </c>
      <c r="F16" s="22">
        <v>469</v>
      </c>
      <c r="G16" s="18">
        <f>F16*C16</f>
        <v>328.29999999999995</v>
      </c>
    </row>
    <row r="17" spans="1:7" ht="13.8">
      <c r="A17" s="14" t="s">
        <v>41</v>
      </c>
      <c r="B17" s="29" t="s">
        <v>60</v>
      </c>
      <c r="C17" s="23">
        <v>0.9</v>
      </c>
      <c r="D17" s="21" t="s">
        <v>139</v>
      </c>
      <c r="E17" s="16" t="s">
        <v>30</v>
      </c>
      <c r="F17" s="17">
        <v>1057</v>
      </c>
      <c r="G17" s="18">
        <f>F17*C17</f>
        <v>951.30000000000007</v>
      </c>
    </row>
    <row r="18" spans="1:7" ht="13.8">
      <c r="A18" s="19" t="s">
        <v>41</v>
      </c>
      <c r="B18" s="19" t="s">
        <v>61</v>
      </c>
      <c r="C18" s="30">
        <v>1.7</v>
      </c>
      <c r="D18" s="21" t="s">
        <v>139</v>
      </c>
      <c r="E18" s="21" t="s">
        <v>11</v>
      </c>
      <c r="F18" s="22">
        <v>714</v>
      </c>
      <c r="G18" s="18">
        <f>F18*C18</f>
        <v>1213.8</v>
      </c>
    </row>
    <row r="19" spans="1:7" ht="13.8">
      <c r="A19" s="14" t="s">
        <v>41</v>
      </c>
      <c r="B19" s="14" t="s">
        <v>62</v>
      </c>
      <c r="C19" s="15">
        <v>1.8</v>
      </c>
      <c r="D19" s="21" t="s">
        <v>139</v>
      </c>
      <c r="E19" s="16" t="s">
        <v>11</v>
      </c>
      <c r="F19" s="17">
        <v>199</v>
      </c>
      <c r="G19" s="18">
        <f>F19*C19</f>
        <v>358.2</v>
      </c>
    </row>
    <row r="20" spans="1:7" ht="13.8">
      <c r="A20" s="19" t="s">
        <v>41</v>
      </c>
      <c r="B20" s="19" t="s">
        <v>63</v>
      </c>
      <c r="C20" s="30">
        <v>1</v>
      </c>
      <c r="D20" s="21" t="s">
        <v>139</v>
      </c>
      <c r="E20" s="21" t="s">
        <v>11</v>
      </c>
      <c r="F20" s="22">
        <v>360</v>
      </c>
      <c r="G20" s="18">
        <f>F20*C20</f>
        <v>360</v>
      </c>
    </row>
    <row r="21" spans="1:7" ht="13.8">
      <c r="A21" s="14" t="s">
        <v>41</v>
      </c>
      <c r="B21" s="14" t="s">
        <v>64</v>
      </c>
      <c r="C21" s="23">
        <v>2</v>
      </c>
      <c r="D21" s="21" t="s">
        <v>139</v>
      </c>
      <c r="E21" s="16" t="s">
        <v>11</v>
      </c>
      <c r="F21" s="17">
        <v>439</v>
      </c>
      <c r="G21" s="18">
        <f>F21*C21</f>
        <v>878</v>
      </c>
    </row>
    <row r="22" spans="1:7" ht="13.8">
      <c r="A22" s="19" t="s">
        <v>41</v>
      </c>
      <c r="B22" s="19" t="s">
        <v>66</v>
      </c>
      <c r="C22" s="20">
        <v>0.8</v>
      </c>
      <c r="D22" s="21" t="s">
        <v>139</v>
      </c>
      <c r="E22" s="21" t="s">
        <v>11</v>
      </c>
      <c r="F22" s="22">
        <v>460</v>
      </c>
      <c r="G22" s="18">
        <f>F22*C22</f>
        <v>368</v>
      </c>
    </row>
    <row r="23" spans="1:7" ht="13.8">
      <c r="A23" s="14" t="s">
        <v>41</v>
      </c>
      <c r="B23" s="14" t="s">
        <v>67</v>
      </c>
      <c r="C23" s="23" t="s">
        <v>68</v>
      </c>
      <c r="D23" s="21" t="s">
        <v>139</v>
      </c>
      <c r="E23" s="16" t="s">
        <v>11</v>
      </c>
      <c r="F23" s="17">
        <v>480</v>
      </c>
      <c r="G23" s="18">
        <f>F23*C23</f>
        <v>960</v>
      </c>
    </row>
    <row r="24" spans="1:7" ht="13.8">
      <c r="A24" s="14" t="s">
        <v>41</v>
      </c>
      <c r="B24" s="14" t="s">
        <v>69</v>
      </c>
      <c r="C24" s="15">
        <v>0.8</v>
      </c>
      <c r="D24" s="21" t="s">
        <v>139</v>
      </c>
      <c r="E24" s="16" t="s">
        <v>11</v>
      </c>
      <c r="F24" s="17">
        <v>460</v>
      </c>
      <c r="G24" s="18">
        <f>F24*C24</f>
        <v>368</v>
      </c>
    </row>
    <row r="25" spans="1:7" ht="13.8">
      <c r="A25" s="14" t="s">
        <v>41</v>
      </c>
      <c r="B25" s="14" t="s">
        <v>70</v>
      </c>
      <c r="C25" s="23" t="s">
        <v>40</v>
      </c>
      <c r="D25" s="21" t="s">
        <v>139</v>
      </c>
      <c r="E25" s="16" t="s">
        <v>30</v>
      </c>
      <c r="F25" s="17">
        <v>700</v>
      </c>
      <c r="G25" s="18">
        <f>F25*C25</f>
        <v>630</v>
      </c>
    </row>
    <row r="26" spans="1:7">
      <c r="F26" s="27" t="s">
        <v>138</v>
      </c>
      <c r="G26" s="28">
        <f>SUM(G4:G25)</f>
        <v>11012.5</v>
      </c>
    </row>
  </sheetData>
  <mergeCells count="1">
    <mergeCell ref="A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9710-433C-4AD8-8241-E3C61732F7C5}">
  <dimension ref="A1:G11"/>
  <sheetViews>
    <sheetView workbookViewId="0">
      <selection activeCell="D4" sqref="D4:D10"/>
    </sheetView>
  </sheetViews>
  <sheetFormatPr defaultRowHeight="13.2"/>
  <cols>
    <col min="1" max="1" width="23.33203125" customWidth="1"/>
    <col min="2" max="2" width="17.5546875" customWidth="1"/>
    <col min="3" max="3" width="15.88671875" customWidth="1"/>
    <col min="4" max="4" width="15.5546875" customWidth="1"/>
    <col min="5" max="5" width="16" customWidth="1"/>
    <col min="6" max="6" width="20.77734375" customWidth="1"/>
    <col min="7" max="7" width="16.33203125" customWidth="1"/>
  </cols>
  <sheetData>
    <row r="1" spans="1:7">
      <c r="A1" s="11" t="s">
        <v>0</v>
      </c>
      <c r="B1" s="11"/>
      <c r="C1" s="11"/>
      <c r="D1" s="11"/>
      <c r="E1" s="11"/>
      <c r="F1" s="11"/>
      <c r="G1" s="11"/>
    </row>
    <row r="2" spans="1:7">
      <c r="A2" s="11"/>
      <c r="B2" s="11"/>
      <c r="C2" s="11"/>
      <c r="D2" s="11"/>
      <c r="E2" s="11"/>
      <c r="F2" s="11"/>
      <c r="G2" s="11"/>
    </row>
    <row r="3" spans="1:7" ht="13.8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3" t="s">
        <v>6</v>
      </c>
      <c r="G3" s="13" t="s">
        <v>7</v>
      </c>
    </row>
    <row r="4" spans="1:7" ht="13.8">
      <c r="A4" s="14" t="s">
        <v>27</v>
      </c>
      <c r="B4" s="14" t="s">
        <v>28</v>
      </c>
      <c r="C4" s="23" t="s">
        <v>29</v>
      </c>
      <c r="D4" s="16" t="s">
        <v>139</v>
      </c>
      <c r="E4" s="16" t="s">
        <v>30</v>
      </c>
      <c r="F4" s="17">
        <v>235</v>
      </c>
      <c r="G4" s="18">
        <f>F4*C4</f>
        <v>235</v>
      </c>
    </row>
    <row r="5" spans="1:7" ht="13.8">
      <c r="A5" s="19" t="s">
        <v>27</v>
      </c>
      <c r="B5" s="19" t="s">
        <v>31</v>
      </c>
      <c r="C5" s="20" t="s">
        <v>32</v>
      </c>
      <c r="D5" s="16" t="s">
        <v>139</v>
      </c>
      <c r="E5" s="21" t="s">
        <v>30</v>
      </c>
      <c r="F5" s="22">
        <v>250</v>
      </c>
      <c r="G5" s="18">
        <f>F5*C5</f>
        <v>50</v>
      </c>
    </row>
    <row r="6" spans="1:7" ht="13.8">
      <c r="A6" s="14" t="s">
        <v>27</v>
      </c>
      <c r="B6" s="14" t="s">
        <v>33</v>
      </c>
      <c r="C6" s="15">
        <v>1.5</v>
      </c>
      <c r="D6" s="16" t="s">
        <v>139</v>
      </c>
      <c r="E6" s="16" t="s">
        <v>11</v>
      </c>
      <c r="F6" s="17">
        <v>440</v>
      </c>
      <c r="G6" s="18">
        <f>F6*C6</f>
        <v>660</v>
      </c>
    </row>
    <row r="7" spans="1:7" ht="13.8">
      <c r="A7" s="19" t="s">
        <v>27</v>
      </c>
      <c r="B7" s="19" t="s">
        <v>34</v>
      </c>
      <c r="C7" s="20" t="s">
        <v>29</v>
      </c>
      <c r="D7" s="16" t="s">
        <v>139</v>
      </c>
      <c r="E7" s="21" t="s">
        <v>30</v>
      </c>
      <c r="F7" s="22">
        <v>98</v>
      </c>
      <c r="G7" s="18">
        <f>F7*C7</f>
        <v>98</v>
      </c>
    </row>
    <row r="8" spans="1:7" ht="13.8">
      <c r="A8" s="14" t="s">
        <v>27</v>
      </c>
      <c r="B8" s="14" t="s">
        <v>35</v>
      </c>
      <c r="C8" s="23" t="s">
        <v>36</v>
      </c>
      <c r="D8" s="16" t="s">
        <v>139</v>
      </c>
      <c r="E8" s="16" t="s">
        <v>30</v>
      </c>
      <c r="F8" s="17">
        <v>645</v>
      </c>
      <c r="G8" s="18">
        <f>F8*C8</f>
        <v>516</v>
      </c>
    </row>
    <row r="9" spans="1:7" ht="13.8">
      <c r="A9" s="19" t="s">
        <v>27</v>
      </c>
      <c r="B9" s="19" t="s">
        <v>37</v>
      </c>
      <c r="C9" s="20" t="s">
        <v>38</v>
      </c>
      <c r="D9" s="16" t="s">
        <v>139</v>
      </c>
      <c r="E9" s="21" t="s">
        <v>30</v>
      </c>
      <c r="F9" s="22">
        <v>456</v>
      </c>
      <c r="G9" s="18">
        <f>F9*C9</f>
        <v>45.6</v>
      </c>
    </row>
    <row r="10" spans="1:7" ht="13.8">
      <c r="A10" s="14" t="s">
        <v>27</v>
      </c>
      <c r="B10" s="14" t="s">
        <v>39</v>
      </c>
      <c r="C10" s="23" t="s">
        <v>40</v>
      </c>
      <c r="D10" s="16" t="s">
        <v>139</v>
      </c>
      <c r="E10" s="16" t="s">
        <v>30</v>
      </c>
      <c r="F10" s="17">
        <v>478</v>
      </c>
      <c r="G10" s="18">
        <f>F10*C10</f>
        <v>430.2</v>
      </c>
    </row>
    <row r="11" spans="1:7">
      <c r="F11" s="27" t="s">
        <v>138</v>
      </c>
      <c r="G11" s="28">
        <f>SUM(G4:G10)</f>
        <v>2034.8</v>
      </c>
    </row>
  </sheetData>
  <mergeCells count="1">
    <mergeCell ref="A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E398-3ABE-40BA-B45F-099942E503FB}">
  <dimension ref="A1:G11"/>
  <sheetViews>
    <sheetView workbookViewId="0">
      <selection activeCell="D20" sqref="D20"/>
    </sheetView>
  </sheetViews>
  <sheetFormatPr defaultRowHeight="13.2"/>
  <cols>
    <col min="1" max="1" width="20.109375" customWidth="1"/>
    <col min="2" max="2" width="18.33203125" customWidth="1"/>
    <col min="3" max="3" width="17.44140625" customWidth="1"/>
    <col min="4" max="4" width="17.21875" customWidth="1"/>
    <col min="5" max="5" width="16.21875" customWidth="1"/>
    <col min="6" max="6" width="18.44140625" customWidth="1"/>
    <col min="7" max="7" width="16.6640625" customWidth="1"/>
  </cols>
  <sheetData>
    <row r="1" spans="1:7">
      <c r="A1" s="11" t="s">
        <v>0</v>
      </c>
      <c r="B1" s="11"/>
      <c r="C1" s="11"/>
      <c r="D1" s="11"/>
      <c r="E1" s="11"/>
      <c r="F1" s="11"/>
      <c r="G1" s="11"/>
    </row>
    <row r="2" spans="1:7">
      <c r="A2" s="11"/>
      <c r="B2" s="11"/>
      <c r="C2" s="11"/>
      <c r="D2" s="11"/>
      <c r="E2" s="11"/>
      <c r="F2" s="11"/>
      <c r="G2" s="11"/>
    </row>
    <row r="3" spans="1:7" ht="13.8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3" t="s">
        <v>6</v>
      </c>
      <c r="G3" s="13" t="s">
        <v>7</v>
      </c>
    </row>
    <row r="4" spans="1:7" ht="13.8">
      <c r="A4" s="19" t="s">
        <v>117</v>
      </c>
      <c r="B4" s="19" t="s">
        <v>118</v>
      </c>
      <c r="C4" s="20" t="s">
        <v>29</v>
      </c>
      <c r="D4" s="21" t="s">
        <v>139</v>
      </c>
      <c r="E4" s="21" t="s">
        <v>30</v>
      </c>
      <c r="F4" s="22">
        <v>299</v>
      </c>
      <c r="G4" s="18">
        <f>F4*C4</f>
        <v>299</v>
      </c>
    </row>
    <row r="5" spans="1:7" ht="13.8">
      <c r="A5" s="14" t="s">
        <v>117</v>
      </c>
      <c r="B5" s="14" t="s">
        <v>119</v>
      </c>
      <c r="C5" s="23" t="s">
        <v>36</v>
      </c>
      <c r="D5" s="21" t="s">
        <v>139</v>
      </c>
      <c r="E5" s="16" t="s">
        <v>30</v>
      </c>
      <c r="F5" s="17">
        <v>866</v>
      </c>
      <c r="G5" s="18">
        <f>F5*C5</f>
        <v>692.80000000000007</v>
      </c>
    </row>
    <row r="6" spans="1:7" ht="13.8">
      <c r="A6" s="19" t="s">
        <v>117</v>
      </c>
      <c r="B6" s="19" t="s">
        <v>120</v>
      </c>
      <c r="C6" s="20" t="s">
        <v>29</v>
      </c>
      <c r="D6" s="21" t="s">
        <v>139</v>
      </c>
      <c r="E6" s="21" t="s">
        <v>30</v>
      </c>
      <c r="F6" s="22">
        <v>415</v>
      </c>
      <c r="G6" s="18">
        <f>F6*C6</f>
        <v>415</v>
      </c>
    </row>
    <row r="7" spans="1:7" ht="13.8">
      <c r="A7" s="19" t="s">
        <v>117</v>
      </c>
      <c r="B7" s="19" t="s">
        <v>121</v>
      </c>
      <c r="C7" s="20" t="s">
        <v>43</v>
      </c>
      <c r="D7" s="21" t="s">
        <v>139</v>
      </c>
      <c r="E7" s="21" t="s">
        <v>30</v>
      </c>
      <c r="F7" s="22">
        <v>313</v>
      </c>
      <c r="G7" s="18">
        <f>F7*C7</f>
        <v>93.899999999999991</v>
      </c>
    </row>
    <row r="8" spans="1:7" ht="13.8">
      <c r="A8" s="14" t="s">
        <v>117</v>
      </c>
      <c r="B8" s="29" t="s">
        <v>122</v>
      </c>
      <c r="C8" s="15">
        <v>0.8</v>
      </c>
      <c r="D8" s="21" t="s">
        <v>139</v>
      </c>
      <c r="E8" s="16" t="s">
        <v>11</v>
      </c>
      <c r="F8" s="17">
        <v>738</v>
      </c>
      <c r="G8" s="18">
        <f>F8*C8</f>
        <v>590.4</v>
      </c>
    </row>
    <row r="9" spans="1:7" ht="13.8">
      <c r="A9" s="19" t="s">
        <v>117</v>
      </c>
      <c r="B9" s="24" t="s">
        <v>123</v>
      </c>
      <c r="C9" s="30">
        <v>0.7</v>
      </c>
      <c r="D9" s="21" t="s">
        <v>139</v>
      </c>
      <c r="E9" s="21" t="s">
        <v>11</v>
      </c>
      <c r="F9" s="22">
        <v>6375</v>
      </c>
      <c r="G9" s="18">
        <f>F9*C9</f>
        <v>4462.5</v>
      </c>
    </row>
    <row r="10" spans="1:7" ht="13.8">
      <c r="A10" s="14" t="s">
        <v>117</v>
      </c>
      <c r="B10" s="14" t="s">
        <v>124</v>
      </c>
      <c r="C10" s="23" t="s">
        <v>49</v>
      </c>
      <c r="D10" s="21" t="s">
        <v>139</v>
      </c>
      <c r="E10" s="16" t="s">
        <v>30</v>
      </c>
      <c r="F10" s="17">
        <v>583</v>
      </c>
      <c r="G10" s="18">
        <f>F10*C10</f>
        <v>233.20000000000002</v>
      </c>
    </row>
    <row r="11" spans="1:7">
      <c r="F11" s="27" t="s">
        <v>138</v>
      </c>
      <c r="G11" s="28">
        <f>SUM(G4:G10)</f>
        <v>6786.8</v>
      </c>
    </row>
  </sheetData>
  <mergeCells count="1">
    <mergeCell ref="A1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9C23-87CE-4469-BE92-43016ADCBBC2}">
  <dimension ref="A1:G11"/>
  <sheetViews>
    <sheetView workbookViewId="0">
      <selection activeCell="D4" sqref="D4:D10"/>
    </sheetView>
  </sheetViews>
  <sheetFormatPr defaultRowHeight="13.2"/>
  <cols>
    <col min="1" max="1" width="18" customWidth="1"/>
    <col min="2" max="2" width="30" customWidth="1"/>
    <col min="3" max="3" width="18.6640625" customWidth="1"/>
    <col min="4" max="4" width="17.33203125" customWidth="1"/>
    <col min="5" max="5" width="17.5546875" customWidth="1"/>
    <col min="6" max="6" width="18" customWidth="1"/>
    <col min="7" max="7" width="20.5546875" customWidth="1"/>
  </cols>
  <sheetData>
    <row r="1" spans="1:7">
      <c r="A1" s="10" t="s">
        <v>0</v>
      </c>
      <c r="B1" s="10"/>
      <c r="C1" s="10"/>
      <c r="D1" s="10"/>
      <c r="E1" s="10"/>
      <c r="F1" s="10"/>
      <c r="G1" s="10"/>
    </row>
    <row r="2" spans="1:7">
      <c r="A2" s="10"/>
      <c r="B2" s="10"/>
      <c r="C2" s="10"/>
      <c r="D2" s="10"/>
      <c r="E2" s="10"/>
      <c r="F2" s="10"/>
      <c r="G2" s="10"/>
    </row>
    <row r="3" spans="1:7" ht="13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13.8">
      <c r="A4" s="24" t="s">
        <v>125</v>
      </c>
      <c r="B4" s="24" t="s">
        <v>126</v>
      </c>
      <c r="C4" s="30">
        <v>0.8</v>
      </c>
      <c r="D4" s="21" t="s">
        <v>139</v>
      </c>
      <c r="E4" s="21" t="s">
        <v>30</v>
      </c>
      <c r="F4" s="22">
        <v>933</v>
      </c>
      <c r="G4" s="18">
        <f>F4*C4</f>
        <v>746.40000000000009</v>
      </c>
    </row>
    <row r="5" spans="1:7" ht="13.8">
      <c r="A5" s="24" t="s">
        <v>125</v>
      </c>
      <c r="B5" s="24" t="s">
        <v>127</v>
      </c>
      <c r="C5" s="20" t="s">
        <v>128</v>
      </c>
      <c r="D5" s="21" t="s">
        <v>139</v>
      </c>
      <c r="E5" s="21" t="s">
        <v>30</v>
      </c>
      <c r="F5" s="22">
        <v>228</v>
      </c>
      <c r="G5" s="18">
        <f>F5*C5</f>
        <v>250.8</v>
      </c>
    </row>
    <row r="6" spans="1:7" ht="13.8">
      <c r="A6" s="24" t="s">
        <v>125</v>
      </c>
      <c r="B6" s="24" t="s">
        <v>129</v>
      </c>
      <c r="C6" s="20" t="s">
        <v>130</v>
      </c>
      <c r="D6" s="21" t="s">
        <v>139</v>
      </c>
      <c r="E6" s="21" t="s">
        <v>30</v>
      </c>
      <c r="F6" s="22">
        <v>597</v>
      </c>
      <c r="G6" s="18">
        <f>F6*C6</f>
        <v>716.4</v>
      </c>
    </row>
    <row r="7" spans="1:7" ht="13.8">
      <c r="A7" s="24" t="s">
        <v>125</v>
      </c>
      <c r="B7" s="24" t="s">
        <v>131</v>
      </c>
      <c r="C7" s="20" t="s">
        <v>132</v>
      </c>
      <c r="D7" s="21" t="s">
        <v>139</v>
      </c>
      <c r="E7" s="21" t="s">
        <v>30</v>
      </c>
      <c r="F7" s="22">
        <v>234</v>
      </c>
      <c r="G7" s="18">
        <f>F7*C7</f>
        <v>304.2</v>
      </c>
    </row>
    <row r="8" spans="1:7" ht="13.8">
      <c r="A8" s="24" t="s">
        <v>125</v>
      </c>
      <c r="B8" s="24" t="s">
        <v>133</v>
      </c>
      <c r="C8" s="20" t="s">
        <v>134</v>
      </c>
      <c r="D8" s="21" t="s">
        <v>139</v>
      </c>
      <c r="E8" s="21" t="s">
        <v>30</v>
      </c>
      <c r="F8" s="22">
        <v>192</v>
      </c>
      <c r="G8" s="18">
        <f>F8*C8</f>
        <v>268.79999999999995</v>
      </c>
    </row>
    <row r="9" spans="1:7" ht="13.8">
      <c r="A9" s="24" t="s">
        <v>125</v>
      </c>
      <c r="B9" s="24" t="s">
        <v>135</v>
      </c>
      <c r="C9" s="20" t="s">
        <v>136</v>
      </c>
      <c r="D9" s="21" t="s">
        <v>139</v>
      </c>
      <c r="E9" s="21" t="s">
        <v>30</v>
      </c>
      <c r="F9" s="22">
        <v>331</v>
      </c>
      <c r="G9" s="18">
        <f>F9*C9</f>
        <v>496.5</v>
      </c>
    </row>
    <row r="10" spans="1:7" ht="13.8">
      <c r="A10" s="14" t="s">
        <v>125</v>
      </c>
      <c r="B10" s="14" t="s">
        <v>51</v>
      </c>
      <c r="C10" s="23" t="s">
        <v>29</v>
      </c>
      <c r="D10" s="21" t="s">
        <v>139</v>
      </c>
      <c r="E10" s="16" t="s">
        <v>30</v>
      </c>
      <c r="F10" s="17">
        <v>890</v>
      </c>
      <c r="G10" s="18">
        <f>F10*C10</f>
        <v>890</v>
      </c>
    </row>
    <row r="11" spans="1:7">
      <c r="F11" s="27" t="s">
        <v>138</v>
      </c>
      <c r="G11" s="28">
        <f>SUM(G4:G10)</f>
        <v>3673.1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Cervezas</vt:lpstr>
      <vt:lpstr>Sodas</vt:lpstr>
      <vt:lpstr>Tequila</vt:lpstr>
      <vt:lpstr>Destilados de agave</vt:lpstr>
      <vt:lpstr>Licores</vt:lpstr>
      <vt:lpstr>Gin y Vodka</vt:lpstr>
      <vt:lpstr>Whisky</vt:lpstr>
      <vt:lpstr>Rones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Gallo</cp:lastModifiedBy>
  <dcterms:modified xsi:type="dcterms:W3CDTF">2026-06-15T21:33:01Z</dcterms:modified>
</cp:coreProperties>
</file>